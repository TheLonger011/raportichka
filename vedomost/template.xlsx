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200" windowHeight="11490" tabRatio="500"/>
  </bookViews>
  <sheets>
    <sheet name="Лист1" sheetId="1" r:id="rId1"/>
  </sheets>
  <calcPr calcId="1257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1" i="1"/>
  <c r="E40"/>
  <c r="E39"/>
  <c r="E38"/>
  <c r="E37"/>
  <c r="D41"/>
  <c r="D40"/>
  <c r="D39"/>
  <c r="D38"/>
  <c r="D37"/>
  <c r="I12" l="1"/>
  <c r="J12"/>
  <c r="K12"/>
  <c r="L12"/>
  <c r="P12"/>
  <c r="I13"/>
  <c r="J13"/>
  <c r="K13"/>
  <c r="L13"/>
  <c r="P13"/>
  <c r="I14"/>
  <c r="J14"/>
  <c r="K14"/>
  <c r="L14"/>
  <c r="P14"/>
  <c r="I15"/>
  <c r="J15"/>
  <c r="K15"/>
  <c r="L15"/>
  <c r="P15"/>
  <c r="I16"/>
  <c r="J16"/>
  <c r="K16"/>
  <c r="L16"/>
  <c r="P16"/>
  <c r="I17"/>
  <c r="J17"/>
  <c r="K17"/>
  <c r="L17"/>
  <c r="P17"/>
  <c r="I18"/>
  <c r="J18"/>
  <c r="K18"/>
  <c r="L18"/>
  <c r="P18"/>
  <c r="I19"/>
  <c r="J19"/>
  <c r="K19"/>
  <c r="L19"/>
  <c r="P19"/>
  <c r="I20"/>
  <c r="J20"/>
  <c r="K20"/>
  <c r="L20"/>
  <c r="P20"/>
  <c r="I21"/>
  <c r="J21"/>
  <c r="K21"/>
  <c r="L21"/>
  <c r="P21"/>
  <c r="I22"/>
  <c r="J22"/>
  <c r="K22"/>
  <c r="L22"/>
  <c r="P22"/>
  <c r="I23"/>
  <c r="J23"/>
  <c r="K23"/>
  <c r="L23"/>
  <c r="P23"/>
  <c r="I24"/>
  <c r="J24"/>
  <c r="K24"/>
  <c r="L24"/>
  <c r="P24"/>
  <c r="I25"/>
  <c r="J25"/>
  <c r="K25"/>
  <c r="L25"/>
  <c r="P25"/>
  <c r="I26"/>
  <c r="J26"/>
  <c r="K26"/>
  <c r="L26"/>
  <c r="P26"/>
  <c r="I27"/>
  <c r="J27"/>
  <c r="K27"/>
  <c r="L27"/>
  <c r="P27"/>
  <c r="I28"/>
  <c r="J28"/>
  <c r="K28"/>
  <c r="L28"/>
  <c r="P28"/>
  <c r="I29"/>
  <c r="J29"/>
  <c r="K29"/>
  <c r="L29"/>
  <c r="P29"/>
  <c r="I30"/>
  <c r="J30"/>
  <c r="K30"/>
  <c r="L30"/>
  <c r="P30"/>
  <c r="I31"/>
  <c r="J31"/>
  <c r="K31"/>
  <c r="L31"/>
  <c r="P31"/>
  <c r="I32"/>
  <c r="J32"/>
  <c r="K32"/>
  <c r="L32"/>
  <c r="P32"/>
  <c r="I33"/>
  <c r="J33"/>
  <c r="K33"/>
  <c r="L33"/>
  <c r="P33"/>
  <c r="I34"/>
  <c r="J34"/>
  <c r="K34"/>
  <c r="L34"/>
  <c r="P34"/>
  <c r="I35"/>
  <c r="J35"/>
  <c r="K35"/>
  <c r="L35"/>
  <c r="P35"/>
  <c r="M36"/>
  <c r="N36"/>
  <c r="O36"/>
  <c r="M39" s="1"/>
  <c r="C37"/>
  <c r="F37"/>
  <c r="G37"/>
  <c r="H37"/>
  <c r="C38"/>
  <c r="F38"/>
  <c r="G38"/>
  <c r="H38"/>
  <c r="C39"/>
  <c r="F39"/>
  <c r="G39"/>
  <c r="H39"/>
  <c r="C40"/>
  <c r="F40"/>
  <c r="G40"/>
  <c r="H40"/>
  <c r="C41"/>
  <c r="F41"/>
  <c r="G41"/>
  <c r="H41"/>
  <c r="I39" l="1"/>
  <c r="I36"/>
  <c r="J36"/>
  <c r="L36"/>
  <c r="K36"/>
  <c r="C45"/>
  <c r="C44" l="1"/>
  <c r="C43"/>
</calcChain>
</file>

<file path=xl/sharedStrings.xml><?xml version="1.0" encoding="utf-8"?>
<sst xmlns="http://schemas.openxmlformats.org/spreadsheetml/2006/main" count="61" uniqueCount="61">
  <si>
    <r>
      <rPr>
        <sz val="10"/>
        <color rgb="FF000000"/>
        <rFont val="Times New Roman"/>
        <family val="1"/>
        <charset val="204"/>
      </rPr>
      <t xml:space="preserve">Коми Республикаса велӧдан да наука министерство
</t>
    </r>
    <r>
      <rPr>
        <b/>
        <sz val="10"/>
        <color rgb="FF000000"/>
        <rFont val="Times New Roman"/>
        <family val="1"/>
        <charset val="204"/>
      </rPr>
      <t xml:space="preserve">«Сыктывкарса сервис да связь колледж»
уджсикасӧ велӧдан канму учреждение
</t>
    </r>
    <r>
      <rPr>
        <sz val="10"/>
        <color rgb="FF000000"/>
        <rFont val="Times New Roman"/>
        <family val="1"/>
        <charset val="204"/>
      </rPr>
      <t xml:space="preserve">Министерство образования и науки Республики Коми
государственное профессиональное образовательное учреждение 
</t>
    </r>
    <r>
      <rPr>
        <b/>
        <sz val="10"/>
        <color rgb="FF000000"/>
        <rFont val="Times New Roman"/>
        <family val="1"/>
        <charset val="204"/>
      </rPr>
      <t xml:space="preserve"> «Сыктывкарский колледж сервиса и связи»
(ГПОУ «СКСиС»)
</t>
    </r>
  </si>
  <si>
    <t xml:space="preserve">ВЕДОМОСТЬ </t>
  </si>
  <si>
    <t>ФИО студента</t>
  </si>
  <si>
    <t xml:space="preserve">Дисциплины </t>
  </si>
  <si>
    <t>Количество оценок</t>
  </si>
  <si>
    <t>Средний балл студента</t>
  </si>
  <si>
    <t>отлично</t>
  </si>
  <si>
    <t>хорошо</t>
  </si>
  <si>
    <t>удовлетворительно</t>
  </si>
  <si>
    <t>неудовлетворительно</t>
  </si>
  <si>
    <t>всего</t>
  </si>
  <si>
    <t>по уважительной  причине</t>
  </si>
  <si>
    <t>без уважительной причины</t>
  </si>
  <si>
    <t>Средний балл по дисциплине</t>
  </si>
  <si>
    <t>Средний балл в группе</t>
  </si>
  <si>
    <t>Процент посещаемости</t>
  </si>
  <si>
    <t>Отлично</t>
  </si>
  <si>
    <t>Хорошо</t>
  </si>
  <si>
    <t>Удовлетворительно</t>
  </si>
  <si>
    <t>Неудовлетворительно</t>
  </si>
  <si>
    <t>Успеваемость по группе, %</t>
  </si>
  <si>
    <t>Качественная успеваемость, %</t>
  </si>
  <si>
    <t xml:space="preserve">Количество неуспевающих </t>
  </si>
  <si>
    <t>Количество студентов в группе</t>
  </si>
  <si>
    <t>Количество учебных часов</t>
  </si>
  <si>
    <t>Заведующий отделением                                                                          О.В. Пыхалова</t>
  </si>
  <si>
    <t>Иностранный язык</t>
  </si>
  <si>
    <t xml:space="preserve">Абдуразаков Никита Андреевич     </t>
  </si>
  <si>
    <t xml:space="preserve">Дружинин Артём Владимирович       </t>
  </si>
  <si>
    <t xml:space="preserve">Жданов Игорь Сергеевич        </t>
  </si>
  <si>
    <t>Козлова Елизавета Денисовна</t>
  </si>
  <si>
    <t>Лапина Диана Евгеньевна</t>
  </si>
  <si>
    <t>Марченко Милена Евгеньевна</t>
  </si>
  <si>
    <t>Опарина Яна Валериановна</t>
  </si>
  <si>
    <t>Попова Софья Павловна</t>
  </si>
  <si>
    <t>Проценко Екатерина Дмитриевна</t>
  </si>
  <si>
    <t>Пыстина Ангелина Сергеевна</t>
  </si>
  <si>
    <t>Тимина Карина Владимировна</t>
  </si>
  <si>
    <t>Третьякова Олеся Владимировна</t>
  </si>
  <si>
    <t>Уляшева Лилиана Вячеславовна</t>
  </si>
  <si>
    <t>Ходусова Екатерина Валерьевна</t>
  </si>
  <si>
    <t>Чебыкина Анастасия Андреевна</t>
  </si>
  <si>
    <t>Чебыкина Софья Сергеевна</t>
  </si>
  <si>
    <t xml:space="preserve">Хитров Артём Валерьевич         </t>
  </si>
  <si>
    <t xml:space="preserve">Тимофеев Андрей Петрович         </t>
  </si>
  <si>
    <t xml:space="preserve">Пупков Иван Данилович         </t>
  </si>
  <si>
    <t xml:space="preserve">Нестеров Сергей Алексеевич         </t>
  </si>
  <si>
    <t xml:space="preserve"> Мальцев Илья Эдуардович         </t>
  </si>
  <si>
    <t xml:space="preserve">Максимчук Юрий Евгеньевич         </t>
  </si>
  <si>
    <t>Лютоев Михаил Евгеньевич</t>
  </si>
  <si>
    <t>Абдулаев Виктор Александрович</t>
  </si>
  <si>
    <t>Классный руководитель                                                                        Е.А.Дёмина</t>
  </si>
  <si>
    <t>МДК 05.01</t>
  </si>
  <si>
    <r>
      <t xml:space="preserve">специальность </t>
    </r>
    <r>
      <rPr>
        <b/>
        <sz val="12"/>
        <color rgb="FF000000"/>
        <rFont val="Times New Roman"/>
        <family val="1"/>
        <charset val="204"/>
      </rPr>
      <t xml:space="preserve">Информационные системы и программирование                                                                                                                                            </t>
    </r>
    <r>
      <rPr>
        <sz val="12"/>
        <color rgb="FF000000"/>
        <rFont val="Times New Roman"/>
        <family val="1"/>
        <charset val="204"/>
      </rPr>
      <t xml:space="preserve">Курс </t>
    </r>
    <r>
      <rPr>
        <b/>
        <sz val="12"/>
        <color rgb="FF000000"/>
        <rFont val="Times New Roman"/>
        <charset val="204"/>
      </rPr>
      <t>2</t>
    </r>
    <r>
      <rPr>
        <sz val="12"/>
        <color rgb="FF000000"/>
        <rFont val="Times New Roman"/>
        <charset val="204"/>
      </rPr>
      <t xml:space="preserve"> Группа ИС-2-01</t>
    </r>
    <r>
      <rPr>
        <b/>
        <sz val="12"/>
        <color rgb="FF000000"/>
        <rFont val="Times New Roman"/>
        <charset val="204"/>
      </rPr>
      <t xml:space="preserve">
</t>
    </r>
  </si>
  <si>
    <t>Основы алгоритмизации и программирование</t>
  </si>
  <si>
    <t>__________________2026 г.</t>
  </si>
  <si>
    <t>Архитектура аппаратных сред</t>
  </si>
  <si>
    <r>
      <t xml:space="preserve">текущей аттестации </t>
    </r>
    <r>
      <rPr>
        <b/>
        <sz val="11"/>
        <color rgb="FF000000"/>
        <rFont val="Times New Roman"/>
        <charset val="204"/>
      </rPr>
      <t>за</t>
    </r>
    <r>
      <rPr>
        <b/>
        <sz val="16"/>
        <color rgb="FF000000"/>
        <rFont val="Times New Roman"/>
        <charset val="204"/>
      </rPr>
      <t xml:space="preserve"> март</t>
    </r>
    <r>
      <rPr>
        <sz val="11"/>
        <color rgb="FF000000"/>
        <rFont val="Times New Roman"/>
        <charset val="204"/>
      </rPr>
      <t xml:space="preserve"> 2025-2026 уч.г.</t>
    </r>
  </si>
  <si>
    <t>Теория вероятности и математическая статистика</t>
  </si>
  <si>
    <t>Операцилнные системы и среды</t>
  </si>
  <si>
    <t>Кол-во час.
 Пропущенных занятий</t>
  </si>
</sst>
</file>

<file path=xl/styles.xml><?xml version="1.0" encoding="utf-8"?>
<styleSheet xmlns="http://schemas.openxmlformats.org/spreadsheetml/2006/main">
  <numFmts count="3">
    <numFmt numFmtId="164" formatCode="0.0"/>
    <numFmt numFmtId="165" formatCode="_-* #,##0.00_р_._-;\-* #,##0.00_р_._-;_-* \-??_р_._-;_-@_-"/>
    <numFmt numFmtId="166" formatCode="_-* #,##0.0_р_._-;\-* #,##0.0_р_._-;_-* \-?_р_._-;_-@_-"/>
  </numFmts>
  <fonts count="22">
    <font>
      <sz val="11"/>
      <name val="Calibri"/>
      <charset val="1"/>
    </font>
    <font>
      <sz val="11"/>
      <color rgb="FF000000"/>
      <name val="Times New Roman"/>
      <charset val="204"/>
    </font>
    <font>
      <sz val="11"/>
      <name val="Calibri"/>
      <charset val="204"/>
    </font>
    <font>
      <sz val="11"/>
      <color rgb="FF000000"/>
      <name val="Calibri"/>
      <charset val="204"/>
    </font>
    <font>
      <sz val="10"/>
      <color rgb="FF000000"/>
      <name val="Times New Roman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charset val="204"/>
    </font>
    <font>
      <b/>
      <sz val="16"/>
      <color rgb="FF000000"/>
      <name val="Times New Roman"/>
      <charset val="204"/>
    </font>
    <font>
      <b/>
      <sz val="12"/>
      <color rgb="FF000000"/>
      <name val="Times New Roman"/>
      <charset val="204"/>
    </font>
    <font>
      <sz val="12"/>
      <color rgb="FF000000"/>
      <name val="Times New Roman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Calibri"/>
      <charset val="204"/>
    </font>
    <font>
      <sz val="11"/>
      <name val="Times New Roman"/>
      <charset val="204"/>
    </font>
    <font>
      <b/>
      <sz val="10"/>
      <color rgb="FF000000"/>
      <name val="Times New Roman"/>
      <charset val="204"/>
    </font>
    <font>
      <sz val="10"/>
      <name val="Times New Roman"/>
      <family val="1"/>
      <charset val="204"/>
    </font>
    <font>
      <sz val="12"/>
      <name val="Times New Roman"/>
      <charset val="204"/>
    </font>
    <font>
      <sz val="12"/>
      <name val="Times New Roman"/>
      <family val="1"/>
      <charset val="204"/>
    </font>
    <font>
      <sz val="14"/>
      <color rgb="FF000000"/>
      <name val="Times New Roman"/>
      <charset val="204"/>
    </font>
    <font>
      <b/>
      <sz val="1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8D8D8"/>
        <bgColor rgb="FFC0C0C0"/>
      </patternFill>
    </fill>
  </fills>
  <borders count="4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165" fontId="3" fillId="0" borderId="0">
      <protection locked="0"/>
    </xf>
  </cellStyleXfs>
  <cellXfs count="1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/>
    <xf numFmtId="0" fontId="16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textRotation="90"/>
    </xf>
    <xf numFmtId="0" fontId="3" fillId="0" borderId="3" xfId="0" applyFont="1" applyBorder="1" applyAlignment="1">
      <alignment horizontal="center"/>
    </xf>
    <xf numFmtId="0" fontId="16" fillId="0" borderId="4" xfId="0" applyFont="1" applyBorder="1" applyAlignment="1">
      <alignment horizontal="center" textRotation="90" wrapText="1"/>
    </xf>
    <xf numFmtId="0" fontId="4" fillId="0" borderId="5" xfId="0" applyFont="1" applyBorder="1" applyAlignment="1">
      <alignment horizontal="center" textRotation="90" wrapText="1"/>
    </xf>
    <xf numFmtId="0" fontId="4" fillId="0" borderId="6" xfId="0" applyFont="1" applyBorder="1" applyAlignment="1">
      <alignment horizontal="center" textRotation="90" wrapText="1"/>
    </xf>
    <xf numFmtId="0" fontId="4" fillId="0" borderId="7" xfId="0" applyFont="1" applyBorder="1" applyAlignment="1">
      <alignment horizontal="center" textRotation="90" wrapText="1"/>
    </xf>
    <xf numFmtId="0" fontId="4" fillId="0" borderId="8" xfId="0" applyFont="1" applyBorder="1" applyAlignment="1">
      <alignment horizontal="center" textRotation="90" wrapText="1"/>
    </xf>
    <xf numFmtId="0" fontId="11" fillId="2" borderId="10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 wrapText="1"/>
    </xf>
    <xf numFmtId="1" fontId="11" fillId="2" borderId="14" xfId="0" applyNumberFormat="1" applyFont="1" applyFill="1" applyBorder="1" applyAlignment="1">
      <alignment horizontal="center" vertical="center" wrapText="1"/>
    </xf>
    <xf numFmtId="1" fontId="11" fillId="2" borderId="15" xfId="0" applyNumberFormat="1" applyFont="1" applyFill="1" applyBorder="1" applyAlignment="1">
      <alignment horizontal="center" vertical="center" wrapText="1"/>
    </xf>
    <xf numFmtId="2" fontId="11" fillId="2" borderId="16" xfId="0" applyNumberFormat="1" applyFont="1" applyFill="1" applyBorder="1" applyAlignment="1">
      <alignment horizontal="center"/>
    </xf>
    <xf numFmtId="0" fontId="14" fillId="2" borderId="0" xfId="0" applyFont="1" applyFill="1" applyAlignment="1"/>
    <xf numFmtId="0" fontId="11" fillId="2" borderId="17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0" fontId="18" fillId="2" borderId="19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1" fontId="11" fillId="2" borderId="18" xfId="0" applyNumberFormat="1" applyFont="1" applyFill="1" applyBorder="1" applyAlignment="1">
      <alignment horizontal="center" vertical="center" wrapText="1"/>
    </xf>
    <xf numFmtId="1" fontId="11" fillId="2" borderId="19" xfId="0" applyNumberFormat="1" applyFont="1" applyFill="1" applyBorder="1" applyAlignment="1">
      <alignment horizontal="center" vertical="center" wrapText="1"/>
    </xf>
    <xf numFmtId="1" fontId="11" fillId="2" borderId="20" xfId="0" applyNumberFormat="1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/>
    </xf>
    <xf numFmtId="0" fontId="17" fillId="0" borderId="21" xfId="0" applyFont="1" applyBorder="1" applyAlignment="1">
      <alignment vertical="center" wrapText="1"/>
    </xf>
    <xf numFmtId="0" fontId="18" fillId="0" borderId="22" xfId="0" applyFont="1" applyBorder="1" applyAlignment="1">
      <alignment horizontal="center" vertical="center" wrapText="1"/>
    </xf>
    <xf numFmtId="1" fontId="11" fillId="2" borderId="23" xfId="0" applyNumberFormat="1" applyFont="1" applyFill="1" applyBorder="1" applyAlignment="1">
      <alignment horizontal="center" vertical="center" wrapText="1"/>
    </xf>
    <xf numFmtId="1" fontId="11" fillId="2" borderId="24" xfId="0" applyNumberFormat="1" applyFont="1" applyFill="1" applyBorder="1" applyAlignment="1">
      <alignment horizontal="center" vertical="center" wrapText="1"/>
    </xf>
    <xf numFmtId="1" fontId="11" fillId="2" borderId="25" xfId="0" applyNumberFormat="1" applyFont="1" applyFill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wrapText="1"/>
    </xf>
    <xf numFmtId="0" fontId="18" fillId="0" borderId="28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18" fillId="0" borderId="31" xfId="0" applyNumberFormat="1" applyFont="1" applyBorder="1" applyAlignment="1">
      <alignment horizontal="center" vertical="center"/>
    </xf>
    <xf numFmtId="1" fontId="18" fillId="0" borderId="27" xfId="0" applyNumberFormat="1" applyFont="1" applyBorder="1" applyAlignment="1">
      <alignment horizontal="center" vertical="center"/>
    </xf>
    <xf numFmtId="1" fontId="18" fillId="0" borderId="30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wrapText="1"/>
    </xf>
    <xf numFmtId="0" fontId="18" fillId="0" borderId="18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0" fontId="18" fillId="0" borderId="0" xfId="0" applyFont="1" applyAlignment="1"/>
    <xf numFmtId="0" fontId="11" fillId="0" borderId="0" xfId="0" applyFont="1" applyAlignment="1"/>
    <xf numFmtId="0" fontId="11" fillId="0" borderId="0" xfId="0" applyFont="1" applyAlignment="1">
      <alignment horizontal="center"/>
    </xf>
    <xf numFmtId="165" fontId="11" fillId="0" borderId="0" xfId="1" applyFont="1" applyAlignment="1" applyProtection="1">
      <alignment vertical="top"/>
    </xf>
    <xf numFmtId="164" fontId="11" fillId="0" borderId="0" xfId="0" applyNumberFormat="1" applyFont="1" applyAlignment="1"/>
    <xf numFmtId="0" fontId="11" fillId="0" borderId="0" xfId="0" applyFont="1" applyAlignment="1">
      <alignment horizontal="left" vertical="center"/>
    </xf>
    <xf numFmtId="0" fontId="18" fillId="0" borderId="0" xfId="0" applyFont="1" applyAlignment="1">
      <alignment horizontal="justify"/>
    </xf>
    <xf numFmtId="0" fontId="11" fillId="2" borderId="0" xfId="0" applyFont="1" applyFill="1" applyAlignment="1">
      <alignment horizontal="left" vertical="center"/>
    </xf>
    <xf numFmtId="0" fontId="19" fillId="0" borderId="0" xfId="0" applyFont="1" applyAlignment="1">
      <alignment horizontal="justify"/>
    </xf>
    <xf numFmtId="0" fontId="18" fillId="0" borderId="0" xfId="0" applyFont="1" applyAlignment="1">
      <alignment horizontal="center"/>
    </xf>
    <xf numFmtId="166" fontId="11" fillId="0" borderId="0" xfId="1" applyNumberFormat="1" applyFont="1" applyBorder="1" applyAlignment="1" applyProtection="1">
      <alignment vertical="top"/>
    </xf>
    <xf numFmtId="0" fontId="11" fillId="0" borderId="0" xfId="0" applyFont="1" applyBorder="1" applyAlignment="1">
      <alignment horizontal="left" vertical="center"/>
    </xf>
    <xf numFmtId="0" fontId="6" fillId="0" borderId="4" xfId="0" applyFont="1" applyBorder="1" applyAlignment="1">
      <alignment horizontal="center" textRotation="90" wrapText="1"/>
    </xf>
    <xf numFmtId="0" fontId="5" fillId="0" borderId="10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7" xfId="0" applyFont="1" applyBorder="1">
      <alignment vertical="center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4" fillId="0" borderId="9" xfId="0" applyFont="1" applyBorder="1" applyAlignment="1"/>
    <xf numFmtId="0" fontId="4" fillId="0" borderId="25" xfId="0" applyFont="1" applyBorder="1" applyAlignment="1">
      <alignment horizontal="center" textRotation="90" wrapText="1"/>
    </xf>
    <xf numFmtId="0" fontId="6" fillId="0" borderId="21" xfId="0" applyFont="1" applyBorder="1" applyAlignment="1">
      <alignment horizontal="center" textRotation="90"/>
    </xf>
    <xf numFmtId="0" fontId="16" fillId="0" borderId="43" xfId="0" applyFont="1" applyBorder="1" applyAlignment="1">
      <alignment vertical="center" wrapText="1"/>
    </xf>
    <xf numFmtId="0" fontId="11" fillId="0" borderId="0" xfId="0" applyFont="1" applyBorder="1" applyAlignment="1"/>
    <xf numFmtId="0" fontId="11" fillId="0" borderId="0" xfId="0" applyFont="1" applyBorder="1" applyAlignment="1">
      <alignment horizontal="center"/>
    </xf>
    <xf numFmtId="0" fontId="19" fillId="0" borderId="0" xfId="0" applyFont="1" applyBorder="1" applyAlignment="1">
      <alignment horizontal="left"/>
    </xf>
    <xf numFmtId="166" fontId="11" fillId="0" borderId="0" xfId="1" applyNumberFormat="1" applyFont="1" applyBorder="1" applyAlignment="1" applyProtection="1">
      <alignment horizontal="center" vertical="top"/>
    </xf>
    <xf numFmtId="0" fontId="1" fillId="0" borderId="0" xfId="0" applyFont="1" applyBorder="1" applyAlignment="1">
      <alignment horizontal="center"/>
    </xf>
    <xf numFmtId="0" fontId="12" fillId="0" borderId="9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4" fillId="3" borderId="45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15" fillId="0" borderId="26" xfId="0" applyFont="1" applyBorder="1" applyAlignment="1">
      <alignment horizontal="left" wrapText="1"/>
    </xf>
    <xf numFmtId="0" fontId="15" fillId="0" borderId="44" xfId="0" applyFont="1" applyBorder="1" applyAlignment="1">
      <alignment horizontal="left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top" wrapText="1"/>
    </xf>
    <xf numFmtId="0" fontId="4" fillId="0" borderId="39" xfId="0" applyFont="1" applyBorder="1" applyAlignment="1">
      <alignment horizontal="center" vertical="top" wrapText="1"/>
    </xf>
    <xf numFmtId="0" fontId="4" fillId="0" borderId="40" xfId="0" applyFont="1" applyBorder="1" applyAlignment="1">
      <alignment horizontal="center" vertical="top" wrapText="1"/>
    </xf>
    <xf numFmtId="0" fontId="4" fillId="0" borderId="33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43" xfId="0" applyFont="1" applyBorder="1" applyAlignment="1">
      <alignment horizontal="center" vertical="top" wrapText="1"/>
    </xf>
    <xf numFmtId="0" fontId="15" fillId="0" borderId="32" xfId="0" applyFont="1" applyBorder="1" applyAlignment="1">
      <alignment horizontal="left" wrapText="1"/>
    </xf>
    <xf numFmtId="0" fontId="15" fillId="0" borderId="37" xfId="0" applyFont="1" applyBorder="1" applyAlignment="1">
      <alignment horizontal="left" wrapText="1"/>
    </xf>
    <xf numFmtId="164" fontId="20" fillId="0" borderId="38" xfId="0" applyNumberFormat="1" applyFont="1" applyBorder="1" applyAlignment="1">
      <alignment horizontal="center" vertical="center" wrapText="1"/>
    </xf>
    <xf numFmtId="164" fontId="20" fillId="0" borderId="39" xfId="0" applyNumberFormat="1" applyFont="1" applyBorder="1" applyAlignment="1">
      <alignment horizontal="center" vertical="center" wrapText="1"/>
    </xf>
    <xf numFmtId="164" fontId="20" fillId="0" borderId="40" xfId="0" applyNumberFormat="1" applyFont="1" applyBorder="1" applyAlignment="1">
      <alignment horizontal="center" vertical="center" wrapText="1"/>
    </xf>
    <xf numFmtId="164" fontId="20" fillId="0" borderId="41" xfId="0" applyNumberFormat="1" applyFont="1" applyBorder="1" applyAlignment="1">
      <alignment horizontal="center" vertical="center" wrapText="1"/>
    </xf>
    <xf numFmtId="164" fontId="20" fillId="0" borderId="0" xfId="0" applyNumberFormat="1" applyFont="1" applyBorder="1" applyAlignment="1">
      <alignment horizontal="center" vertical="center" wrapText="1"/>
    </xf>
    <xf numFmtId="164" fontId="20" fillId="0" borderId="42" xfId="0" applyNumberFormat="1" applyFont="1" applyBorder="1" applyAlignment="1">
      <alignment horizontal="center" vertical="center" wrapText="1"/>
    </xf>
    <xf numFmtId="164" fontId="20" fillId="0" borderId="33" xfId="0" applyNumberFormat="1" applyFont="1" applyBorder="1" applyAlignment="1">
      <alignment horizontal="center" vertical="center" wrapText="1"/>
    </xf>
    <xf numFmtId="164" fontId="20" fillId="0" borderId="9" xfId="0" applyNumberFormat="1" applyFont="1" applyBorder="1" applyAlignment="1">
      <alignment horizontal="center" vertical="center" wrapText="1"/>
    </xf>
    <xf numFmtId="164" fontId="20" fillId="0" borderId="43" xfId="0" applyNumberFormat="1" applyFont="1" applyBorder="1" applyAlignment="1">
      <alignment horizontal="center" vertical="center" wrapText="1"/>
    </xf>
    <xf numFmtId="164" fontId="11" fillId="0" borderId="38" xfId="0" applyNumberFormat="1" applyFont="1" applyBorder="1" applyAlignment="1">
      <alignment horizontal="center" vertical="center" wrapText="1"/>
    </xf>
    <xf numFmtId="164" fontId="11" fillId="0" borderId="39" xfId="0" applyNumberFormat="1" applyFont="1" applyBorder="1" applyAlignment="1">
      <alignment horizontal="center" vertical="center" wrapText="1"/>
    </xf>
    <xf numFmtId="164" fontId="11" fillId="0" borderId="40" xfId="0" applyNumberFormat="1" applyFont="1" applyBorder="1" applyAlignment="1">
      <alignment horizontal="center" vertical="center" wrapText="1"/>
    </xf>
    <xf numFmtId="164" fontId="11" fillId="0" borderId="41" xfId="0" applyNumberFormat="1" applyFont="1" applyBorder="1" applyAlignment="1">
      <alignment horizontal="center" vertical="center" wrapText="1"/>
    </xf>
    <xf numFmtId="164" fontId="11" fillId="0" borderId="0" xfId="0" applyNumberFormat="1" applyFont="1" applyBorder="1" applyAlignment="1">
      <alignment horizontal="center" vertical="center" wrapText="1"/>
    </xf>
    <xf numFmtId="164" fontId="11" fillId="0" borderId="42" xfId="0" applyNumberFormat="1" applyFont="1" applyBorder="1" applyAlignment="1">
      <alignment horizontal="center" vertical="center" wrapText="1"/>
    </xf>
    <xf numFmtId="164" fontId="11" fillId="0" borderId="33" xfId="0" applyNumberFormat="1" applyFont="1" applyBorder="1" applyAlignment="1">
      <alignment horizontal="center" vertical="center" wrapText="1"/>
    </xf>
    <xf numFmtId="164" fontId="11" fillId="0" borderId="9" xfId="0" applyNumberFormat="1" applyFont="1" applyBorder="1" applyAlignment="1">
      <alignment horizontal="center" vertical="center" wrapText="1"/>
    </xf>
    <xf numFmtId="164" fontId="11" fillId="0" borderId="43" xfId="0" applyNumberFormat="1" applyFont="1" applyBorder="1" applyAlignment="1">
      <alignment horizontal="center" vertical="center" wrapText="1"/>
    </xf>
    <xf numFmtId="0" fontId="15" fillId="0" borderId="34" xfId="0" applyFont="1" applyBorder="1" applyAlignment="1">
      <alignment horizontal="left" wrapText="1"/>
    </xf>
    <xf numFmtId="0" fontId="15" fillId="0" borderId="36" xfId="0" applyFont="1" applyBorder="1" applyAlignment="1">
      <alignment horizontal="left" wrapText="1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16" fillId="0" borderId="42" xfId="0" applyFont="1" applyBorder="1" applyAlignment="1">
      <alignment horizontal="center" vertical="center" wrapText="1"/>
    </xf>
    <xf numFmtId="0" fontId="21" fillId="0" borderId="39" xfId="0" applyFont="1" applyBorder="1" applyAlignment="1">
      <alignment horizontal="center" vertical="center" wrapText="1"/>
    </xf>
    <xf numFmtId="0" fontId="21" fillId="0" borderId="40" xfId="0" applyFont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2"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tabSelected="1" topLeftCell="A10" zoomScale="120" zoomScaleNormal="120" workbookViewId="0">
      <selection activeCell="N22" sqref="N22"/>
    </sheetView>
  </sheetViews>
  <sheetFormatPr defaultColWidth="10" defaultRowHeight="15"/>
  <cols>
    <col min="1" max="1" width="3.5703125" style="1" customWidth="1"/>
    <col min="2" max="2" width="32" style="2" customWidth="1"/>
    <col min="3" max="3" width="4.140625" customWidth="1"/>
    <col min="4" max="4" width="4.5703125" style="3" customWidth="1"/>
    <col min="5" max="5" width="3.7109375" style="3" customWidth="1"/>
    <col min="6" max="6" width="4.28515625" style="3" customWidth="1"/>
    <col min="7" max="7" width="4" style="3" customWidth="1"/>
    <col min="8" max="8" width="4.28515625" customWidth="1"/>
    <col min="9" max="9" width="4.42578125" customWidth="1"/>
    <col min="10" max="10" width="3.7109375" customWidth="1"/>
    <col min="11" max="11" width="5.42578125" customWidth="1"/>
    <col min="12" max="12" width="4.28515625" customWidth="1"/>
    <col min="13" max="13" width="4.7109375" style="4" customWidth="1"/>
    <col min="14" max="14" width="6.140625" style="5" customWidth="1"/>
    <col min="15" max="15" width="4.5703125" customWidth="1"/>
    <col min="16" max="16" width="7" customWidth="1"/>
    <col min="18" max="18" width="4.7109375" customWidth="1"/>
  </cols>
  <sheetData>
    <row r="1" spans="1:16" ht="15" customHeight="1">
      <c r="B1" s="82" t="s">
        <v>0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</row>
    <row r="2" spans="1:16"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</row>
    <row r="3" spans="1:16" ht="69" customHeight="1"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</row>
    <row r="4" spans="1:16" s="3" customFormat="1" ht="12" customHeight="1">
      <c r="A4" s="1"/>
      <c r="B4" s="79" t="s">
        <v>1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</row>
    <row r="5" spans="1:16" s="3" customFormat="1" ht="16.5" customHeight="1">
      <c r="A5" s="1"/>
      <c r="B5" s="81" t="s">
        <v>57</v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</row>
    <row r="6" spans="1:16" s="7" customFormat="1" ht="31.5" customHeight="1" thickBot="1">
      <c r="A6" s="6"/>
      <c r="B6" s="80" t="s">
        <v>53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71"/>
    </row>
    <row r="7" spans="1:16" ht="26.25" customHeight="1" thickBot="1">
      <c r="A7" s="84" t="s">
        <v>2</v>
      </c>
      <c r="B7" s="84"/>
      <c r="C7" s="124" t="s">
        <v>3</v>
      </c>
      <c r="D7" s="125"/>
      <c r="E7" s="125"/>
      <c r="F7" s="125"/>
      <c r="G7" s="125"/>
      <c r="H7" s="125"/>
      <c r="I7" s="124" t="s">
        <v>4</v>
      </c>
      <c r="J7" s="125"/>
      <c r="K7" s="125"/>
      <c r="L7" s="130"/>
      <c r="M7" s="132" t="s">
        <v>60</v>
      </c>
      <c r="N7" s="132"/>
      <c r="O7" s="133"/>
      <c r="P7" s="83" t="s">
        <v>5</v>
      </c>
    </row>
    <row r="8" spans="1:16" ht="15.75" thickBot="1">
      <c r="A8" s="84"/>
      <c r="B8" s="84"/>
      <c r="C8" s="126"/>
      <c r="D8" s="127"/>
      <c r="E8" s="127"/>
      <c r="F8" s="127"/>
      <c r="G8" s="127"/>
      <c r="H8" s="127"/>
      <c r="I8" s="126"/>
      <c r="J8" s="127"/>
      <c r="K8" s="127"/>
      <c r="L8" s="131"/>
      <c r="M8" s="134"/>
      <c r="N8" s="134"/>
      <c r="O8" s="135"/>
      <c r="P8" s="83"/>
    </row>
    <row r="9" spans="1:16" ht="19.5" customHeight="1" thickBot="1">
      <c r="A9" s="84"/>
      <c r="B9" s="84"/>
      <c r="C9" s="126"/>
      <c r="D9" s="127"/>
      <c r="E9" s="127"/>
      <c r="F9" s="127"/>
      <c r="G9" s="127"/>
      <c r="H9" s="127"/>
      <c r="I9" s="126"/>
      <c r="J9" s="127"/>
      <c r="K9" s="127"/>
      <c r="L9" s="131"/>
      <c r="M9" s="134"/>
      <c r="N9" s="134"/>
      <c r="O9" s="135"/>
      <c r="P9" s="83"/>
    </row>
    <row r="10" spans="1:16" ht="1.5" customHeight="1" thickBot="1">
      <c r="A10" s="84"/>
      <c r="B10" s="84"/>
      <c r="C10" s="128"/>
      <c r="D10" s="129"/>
      <c r="E10" s="129"/>
      <c r="F10" s="129"/>
      <c r="G10" s="129"/>
      <c r="H10" s="129"/>
      <c r="I10" s="74"/>
      <c r="J10" s="8"/>
      <c r="K10" s="8"/>
      <c r="L10" s="8"/>
      <c r="M10" s="9"/>
      <c r="N10" s="10"/>
    </row>
    <row r="11" spans="1:16" ht="204.75" customHeight="1" thickBot="1">
      <c r="A11" s="84"/>
      <c r="B11" s="84"/>
      <c r="C11" s="11" t="s">
        <v>26</v>
      </c>
      <c r="D11" s="11" t="s">
        <v>58</v>
      </c>
      <c r="E11" s="11" t="s">
        <v>59</v>
      </c>
      <c r="F11" s="11" t="s">
        <v>56</v>
      </c>
      <c r="G11" s="65" t="s">
        <v>54</v>
      </c>
      <c r="H11" s="65" t="s">
        <v>52</v>
      </c>
      <c r="I11" s="12" t="s">
        <v>6</v>
      </c>
      <c r="J11" s="13" t="s">
        <v>7</v>
      </c>
      <c r="K11" s="13" t="s">
        <v>8</v>
      </c>
      <c r="L11" s="14" t="s">
        <v>9</v>
      </c>
      <c r="M11" s="15" t="s">
        <v>10</v>
      </c>
      <c r="N11" s="13" t="s">
        <v>11</v>
      </c>
      <c r="O11" s="72" t="s">
        <v>12</v>
      </c>
      <c r="P11" s="73"/>
    </row>
    <row r="12" spans="1:16" s="26" customFormat="1" ht="15" customHeight="1">
      <c r="A12" s="16">
        <v>1</v>
      </c>
      <c r="B12" s="66" t="s">
        <v>27</v>
      </c>
      <c r="C12" s="17">
        <v>2</v>
      </c>
      <c r="D12" s="17">
        <v>2</v>
      </c>
      <c r="E12" s="17">
        <v>2</v>
      </c>
      <c r="F12" s="18">
        <v>2</v>
      </c>
      <c r="G12" s="18">
        <v>2</v>
      </c>
      <c r="H12" s="18">
        <v>2</v>
      </c>
      <c r="I12" s="19">
        <f t="shared" ref="I12:I35" si="0">COUNTIF(C12:H12,5)</f>
        <v>0</v>
      </c>
      <c r="J12" s="20">
        <f t="shared" ref="J12:J35" si="1">COUNTIF(C12:H12,4)</f>
        <v>0</v>
      </c>
      <c r="K12" s="20">
        <f t="shared" ref="K12:K35" si="2">COUNTIF(C12:H12,3)</f>
        <v>0</v>
      </c>
      <c r="L12" s="21">
        <f t="shared" ref="L12:L35" si="3">COUNTIF(C12:H12,2)</f>
        <v>6</v>
      </c>
      <c r="M12" s="22">
        <v>144</v>
      </c>
      <c r="N12" s="23">
        <v>0</v>
      </c>
      <c r="O12" s="24">
        <v>144</v>
      </c>
      <c r="P12" s="25">
        <f t="shared" ref="P12:P35" si="4">AVERAGE(C12:H12)</f>
        <v>2</v>
      </c>
    </row>
    <row r="13" spans="1:16" s="26" customFormat="1" ht="15" customHeight="1">
      <c r="A13" s="27">
        <v>2</v>
      </c>
      <c r="B13" s="67" t="s">
        <v>28</v>
      </c>
      <c r="C13" s="17">
        <v>5</v>
      </c>
      <c r="D13" s="17">
        <v>4</v>
      </c>
      <c r="E13" s="17">
        <v>5</v>
      </c>
      <c r="F13" s="17">
        <v>5</v>
      </c>
      <c r="G13" s="17">
        <v>5</v>
      </c>
      <c r="H13" s="17">
        <v>5</v>
      </c>
      <c r="I13" s="28">
        <f t="shared" si="0"/>
        <v>5</v>
      </c>
      <c r="J13" s="29">
        <f t="shared" si="1"/>
        <v>1</v>
      </c>
      <c r="K13" s="29">
        <f t="shared" si="2"/>
        <v>0</v>
      </c>
      <c r="L13" s="30">
        <f t="shared" si="3"/>
        <v>0</v>
      </c>
      <c r="M13" s="31">
        <v>0</v>
      </c>
      <c r="N13" s="32">
        <v>0</v>
      </c>
      <c r="O13" s="33">
        <v>0</v>
      </c>
      <c r="P13" s="25">
        <f t="shared" si="4"/>
        <v>4.833333333333333</v>
      </c>
    </row>
    <row r="14" spans="1:16" s="26" customFormat="1" ht="15" customHeight="1">
      <c r="A14" s="27">
        <v>3</v>
      </c>
      <c r="B14" s="67" t="s">
        <v>29</v>
      </c>
      <c r="C14" s="17">
        <v>4</v>
      </c>
      <c r="D14" s="17">
        <v>4</v>
      </c>
      <c r="E14" s="17">
        <v>3</v>
      </c>
      <c r="F14" s="17">
        <v>5</v>
      </c>
      <c r="G14" s="17">
        <v>4</v>
      </c>
      <c r="H14" s="17">
        <v>3</v>
      </c>
      <c r="I14" s="28">
        <f t="shared" si="0"/>
        <v>1</v>
      </c>
      <c r="J14" s="29">
        <f t="shared" si="1"/>
        <v>3</v>
      </c>
      <c r="K14" s="29">
        <f t="shared" si="2"/>
        <v>2</v>
      </c>
      <c r="L14" s="30">
        <f t="shared" si="3"/>
        <v>0</v>
      </c>
      <c r="M14" s="31">
        <v>12</v>
      </c>
      <c r="N14" s="32">
        <v>12</v>
      </c>
      <c r="O14" s="33">
        <v>0</v>
      </c>
      <c r="P14" s="25">
        <f t="shared" si="4"/>
        <v>3.8333333333333335</v>
      </c>
    </row>
    <row r="15" spans="1:16" s="26" customFormat="1" ht="15" customHeight="1">
      <c r="A15" s="27">
        <v>4</v>
      </c>
      <c r="B15" s="67" t="s">
        <v>30</v>
      </c>
      <c r="C15" s="17">
        <v>5</v>
      </c>
      <c r="D15" s="17">
        <v>4</v>
      </c>
      <c r="E15" s="17">
        <v>5</v>
      </c>
      <c r="F15" s="17">
        <v>5</v>
      </c>
      <c r="G15" s="17">
        <v>5</v>
      </c>
      <c r="H15" s="17">
        <v>4</v>
      </c>
      <c r="I15" s="28">
        <f t="shared" si="0"/>
        <v>4</v>
      </c>
      <c r="J15" s="29">
        <f t="shared" si="1"/>
        <v>2</v>
      </c>
      <c r="K15" s="29">
        <f t="shared" si="2"/>
        <v>0</v>
      </c>
      <c r="L15" s="30">
        <f t="shared" si="3"/>
        <v>0</v>
      </c>
      <c r="M15" s="31">
        <v>12</v>
      </c>
      <c r="N15" s="32">
        <v>12</v>
      </c>
      <c r="O15" s="33">
        <v>0</v>
      </c>
      <c r="P15" s="25">
        <f t="shared" si="4"/>
        <v>4.666666666666667</v>
      </c>
    </row>
    <row r="16" spans="1:16" s="26" customFormat="1" ht="15" customHeight="1">
      <c r="A16" s="27">
        <v>5</v>
      </c>
      <c r="B16" s="67" t="s">
        <v>31</v>
      </c>
      <c r="C16" s="17">
        <v>5</v>
      </c>
      <c r="D16" s="17">
        <v>4</v>
      </c>
      <c r="E16" s="17">
        <v>4</v>
      </c>
      <c r="F16" s="17">
        <v>5</v>
      </c>
      <c r="G16" s="17">
        <v>5</v>
      </c>
      <c r="H16" s="17">
        <v>5</v>
      </c>
      <c r="I16" s="28">
        <f t="shared" si="0"/>
        <v>4</v>
      </c>
      <c r="J16" s="29">
        <f t="shared" si="1"/>
        <v>2</v>
      </c>
      <c r="K16" s="29">
        <f t="shared" si="2"/>
        <v>0</v>
      </c>
      <c r="L16" s="30">
        <f t="shared" si="3"/>
        <v>0</v>
      </c>
      <c r="M16" s="31">
        <v>0</v>
      </c>
      <c r="N16" s="32">
        <v>0</v>
      </c>
      <c r="O16" s="33">
        <v>0</v>
      </c>
      <c r="P16" s="25">
        <f t="shared" si="4"/>
        <v>4.666666666666667</v>
      </c>
    </row>
    <row r="17" spans="1:16" s="26" customFormat="1" ht="15" customHeight="1">
      <c r="A17" s="27">
        <v>6</v>
      </c>
      <c r="B17" s="67" t="s">
        <v>48</v>
      </c>
      <c r="C17" s="17">
        <v>5</v>
      </c>
      <c r="D17" s="17">
        <v>3</v>
      </c>
      <c r="E17" s="17">
        <v>3</v>
      </c>
      <c r="F17" s="17">
        <v>5</v>
      </c>
      <c r="G17" s="17">
        <v>5</v>
      </c>
      <c r="H17" s="17">
        <v>5</v>
      </c>
      <c r="I17" s="28">
        <f t="shared" si="0"/>
        <v>4</v>
      </c>
      <c r="J17" s="29">
        <f t="shared" si="1"/>
        <v>0</v>
      </c>
      <c r="K17" s="29">
        <f t="shared" si="2"/>
        <v>2</v>
      </c>
      <c r="L17" s="30">
        <f t="shared" si="3"/>
        <v>0</v>
      </c>
      <c r="M17" s="31">
        <v>0</v>
      </c>
      <c r="N17" s="32">
        <v>0</v>
      </c>
      <c r="O17" s="33">
        <v>0</v>
      </c>
      <c r="P17" s="25">
        <f t="shared" si="4"/>
        <v>4.333333333333333</v>
      </c>
    </row>
    <row r="18" spans="1:16" s="26" customFormat="1" ht="15" customHeight="1">
      <c r="A18" s="27">
        <v>7</v>
      </c>
      <c r="B18" s="67" t="s">
        <v>47</v>
      </c>
      <c r="C18" s="17">
        <v>4</v>
      </c>
      <c r="D18" s="17">
        <v>4</v>
      </c>
      <c r="E18" s="17">
        <v>4</v>
      </c>
      <c r="F18" s="17">
        <v>4</v>
      </c>
      <c r="G18" s="17">
        <v>5</v>
      </c>
      <c r="H18" s="17">
        <v>3</v>
      </c>
      <c r="I18" s="28">
        <f t="shared" si="0"/>
        <v>1</v>
      </c>
      <c r="J18" s="29">
        <f t="shared" si="1"/>
        <v>4</v>
      </c>
      <c r="K18" s="29">
        <f t="shared" si="2"/>
        <v>1</v>
      </c>
      <c r="L18" s="30">
        <f t="shared" si="3"/>
        <v>0</v>
      </c>
      <c r="M18" s="31">
        <v>14</v>
      </c>
      <c r="N18" s="32">
        <v>14</v>
      </c>
      <c r="O18" s="33">
        <v>0</v>
      </c>
      <c r="P18" s="25">
        <f t="shared" si="4"/>
        <v>4</v>
      </c>
    </row>
    <row r="19" spans="1:16" s="26" customFormat="1" ht="15" customHeight="1">
      <c r="A19" s="27">
        <v>8</v>
      </c>
      <c r="B19" s="67" t="s">
        <v>32</v>
      </c>
      <c r="C19" s="17">
        <v>5</v>
      </c>
      <c r="D19" s="17">
        <v>3</v>
      </c>
      <c r="E19" s="17">
        <v>4</v>
      </c>
      <c r="F19" s="17">
        <v>5</v>
      </c>
      <c r="G19" s="17">
        <v>5</v>
      </c>
      <c r="H19" s="17">
        <v>4</v>
      </c>
      <c r="I19" s="28">
        <f t="shared" si="0"/>
        <v>3</v>
      </c>
      <c r="J19" s="29">
        <f t="shared" si="1"/>
        <v>2</v>
      </c>
      <c r="K19" s="29">
        <f t="shared" si="2"/>
        <v>1</v>
      </c>
      <c r="L19" s="30">
        <f t="shared" si="3"/>
        <v>0</v>
      </c>
      <c r="M19" s="31">
        <v>30</v>
      </c>
      <c r="N19" s="32">
        <v>30</v>
      </c>
      <c r="O19" s="33">
        <v>0</v>
      </c>
      <c r="P19" s="25">
        <f t="shared" si="4"/>
        <v>4.333333333333333</v>
      </c>
    </row>
    <row r="20" spans="1:16" s="26" customFormat="1" ht="15" customHeight="1">
      <c r="A20" s="27">
        <v>9</v>
      </c>
      <c r="B20" s="67" t="s">
        <v>46</v>
      </c>
      <c r="C20" s="17">
        <v>4</v>
      </c>
      <c r="D20" s="17">
        <v>3</v>
      </c>
      <c r="E20" s="17">
        <v>4</v>
      </c>
      <c r="F20" s="17">
        <v>5</v>
      </c>
      <c r="G20" s="17">
        <v>5</v>
      </c>
      <c r="H20" s="17">
        <v>3</v>
      </c>
      <c r="I20" s="28">
        <f t="shared" si="0"/>
        <v>2</v>
      </c>
      <c r="J20" s="29">
        <f t="shared" si="1"/>
        <v>2</v>
      </c>
      <c r="K20" s="29">
        <f t="shared" si="2"/>
        <v>2</v>
      </c>
      <c r="L20" s="30">
        <f t="shared" si="3"/>
        <v>0</v>
      </c>
      <c r="M20" s="31">
        <v>50</v>
      </c>
      <c r="N20" s="32">
        <v>50</v>
      </c>
      <c r="O20" s="33">
        <v>0</v>
      </c>
      <c r="P20" s="25">
        <f t="shared" si="4"/>
        <v>4</v>
      </c>
    </row>
    <row r="21" spans="1:16" s="26" customFormat="1" ht="15" customHeight="1">
      <c r="A21" s="27">
        <v>10</v>
      </c>
      <c r="B21" s="67" t="s">
        <v>33</v>
      </c>
      <c r="C21" s="17">
        <v>5</v>
      </c>
      <c r="D21" s="17">
        <v>4</v>
      </c>
      <c r="E21" s="17">
        <v>5</v>
      </c>
      <c r="F21" s="17">
        <v>5</v>
      </c>
      <c r="G21" s="17">
        <v>5</v>
      </c>
      <c r="H21" s="17">
        <v>5</v>
      </c>
      <c r="I21" s="28">
        <f t="shared" si="0"/>
        <v>5</v>
      </c>
      <c r="J21" s="29">
        <f t="shared" si="1"/>
        <v>1</v>
      </c>
      <c r="K21" s="29">
        <f t="shared" si="2"/>
        <v>0</v>
      </c>
      <c r="L21" s="30">
        <f t="shared" si="3"/>
        <v>0</v>
      </c>
      <c r="M21" s="31">
        <v>2</v>
      </c>
      <c r="N21" s="32">
        <v>2</v>
      </c>
      <c r="O21" s="33">
        <v>0</v>
      </c>
      <c r="P21" s="25">
        <f t="shared" si="4"/>
        <v>4.833333333333333</v>
      </c>
    </row>
    <row r="22" spans="1:16" s="26" customFormat="1" ht="15" customHeight="1">
      <c r="A22" s="27">
        <v>11</v>
      </c>
      <c r="B22" s="67" t="s">
        <v>34</v>
      </c>
      <c r="C22" s="17">
        <v>5</v>
      </c>
      <c r="D22" s="17">
        <v>4</v>
      </c>
      <c r="E22" s="17">
        <v>5</v>
      </c>
      <c r="F22" s="17">
        <v>5</v>
      </c>
      <c r="G22" s="17">
        <v>5</v>
      </c>
      <c r="H22" s="17">
        <v>5</v>
      </c>
      <c r="I22" s="28">
        <f t="shared" si="0"/>
        <v>5</v>
      </c>
      <c r="J22" s="29">
        <f t="shared" si="1"/>
        <v>1</v>
      </c>
      <c r="K22" s="29">
        <f t="shared" si="2"/>
        <v>0</v>
      </c>
      <c r="L22" s="30">
        <f t="shared" si="3"/>
        <v>0</v>
      </c>
      <c r="M22" s="31">
        <v>0</v>
      </c>
      <c r="N22" s="32">
        <v>0</v>
      </c>
      <c r="O22" s="33">
        <v>0</v>
      </c>
      <c r="P22" s="25">
        <f t="shared" si="4"/>
        <v>4.833333333333333</v>
      </c>
    </row>
    <row r="23" spans="1:16" s="26" customFormat="1" ht="15" customHeight="1">
      <c r="A23" s="27">
        <v>12</v>
      </c>
      <c r="B23" s="67" t="s">
        <v>35</v>
      </c>
      <c r="C23" s="17">
        <v>4</v>
      </c>
      <c r="D23" s="17">
        <v>3</v>
      </c>
      <c r="E23" s="17">
        <v>3</v>
      </c>
      <c r="F23" s="17">
        <v>5</v>
      </c>
      <c r="G23" s="17">
        <v>4</v>
      </c>
      <c r="H23" s="17">
        <v>2</v>
      </c>
      <c r="I23" s="28">
        <f t="shared" si="0"/>
        <v>1</v>
      </c>
      <c r="J23" s="29">
        <f t="shared" si="1"/>
        <v>2</v>
      </c>
      <c r="K23" s="29">
        <f t="shared" si="2"/>
        <v>2</v>
      </c>
      <c r="L23" s="30">
        <f t="shared" si="3"/>
        <v>1</v>
      </c>
      <c r="M23" s="31">
        <v>74</v>
      </c>
      <c r="N23" s="32">
        <v>74</v>
      </c>
      <c r="O23" s="33">
        <v>0</v>
      </c>
      <c r="P23" s="25">
        <f t="shared" si="4"/>
        <v>3.5</v>
      </c>
    </row>
    <row r="24" spans="1:16" s="26" customFormat="1" ht="15" customHeight="1">
      <c r="A24" s="27">
        <v>13</v>
      </c>
      <c r="B24" s="67" t="s">
        <v>45</v>
      </c>
      <c r="C24" s="17">
        <v>5</v>
      </c>
      <c r="D24" s="17">
        <v>3</v>
      </c>
      <c r="E24" s="17">
        <v>4</v>
      </c>
      <c r="F24" s="17">
        <v>4</v>
      </c>
      <c r="G24" s="17">
        <v>4</v>
      </c>
      <c r="H24" s="17">
        <v>3</v>
      </c>
      <c r="I24" s="28">
        <f t="shared" si="0"/>
        <v>1</v>
      </c>
      <c r="J24" s="29">
        <f t="shared" si="1"/>
        <v>3</v>
      </c>
      <c r="K24" s="29">
        <f t="shared" si="2"/>
        <v>2</v>
      </c>
      <c r="L24" s="30">
        <f t="shared" si="3"/>
        <v>0</v>
      </c>
      <c r="M24" s="31">
        <v>7</v>
      </c>
      <c r="N24" s="32">
        <v>6</v>
      </c>
      <c r="O24" s="33">
        <v>1</v>
      </c>
      <c r="P24" s="25">
        <f t="shared" si="4"/>
        <v>3.8333333333333335</v>
      </c>
    </row>
    <row r="25" spans="1:16" s="26" customFormat="1" ht="15" customHeight="1">
      <c r="A25" s="27">
        <v>14</v>
      </c>
      <c r="B25" s="67" t="s">
        <v>36</v>
      </c>
      <c r="C25" s="17">
        <v>5</v>
      </c>
      <c r="D25" s="17">
        <v>3</v>
      </c>
      <c r="E25" s="17">
        <v>4</v>
      </c>
      <c r="F25" s="17">
        <v>5</v>
      </c>
      <c r="G25" s="17">
        <v>4</v>
      </c>
      <c r="H25" s="17">
        <v>3</v>
      </c>
      <c r="I25" s="28">
        <f t="shared" si="0"/>
        <v>2</v>
      </c>
      <c r="J25" s="29">
        <f t="shared" si="1"/>
        <v>2</v>
      </c>
      <c r="K25" s="29">
        <f t="shared" si="2"/>
        <v>2</v>
      </c>
      <c r="L25" s="30">
        <f t="shared" si="3"/>
        <v>0</v>
      </c>
      <c r="M25" s="31">
        <v>0</v>
      </c>
      <c r="N25" s="32">
        <v>0</v>
      </c>
      <c r="O25" s="33">
        <v>0</v>
      </c>
      <c r="P25" s="25">
        <f t="shared" si="4"/>
        <v>4</v>
      </c>
    </row>
    <row r="26" spans="1:16" s="26" customFormat="1" ht="15" customHeight="1">
      <c r="A26" s="27">
        <v>15</v>
      </c>
      <c r="B26" s="67" t="s">
        <v>37</v>
      </c>
      <c r="C26" s="17">
        <v>5</v>
      </c>
      <c r="D26" s="17">
        <v>3</v>
      </c>
      <c r="E26" s="17">
        <v>5</v>
      </c>
      <c r="F26" s="17">
        <v>5</v>
      </c>
      <c r="G26" s="17">
        <v>5</v>
      </c>
      <c r="H26" s="17">
        <v>5</v>
      </c>
      <c r="I26" s="28">
        <f t="shared" si="0"/>
        <v>5</v>
      </c>
      <c r="J26" s="29">
        <f t="shared" si="1"/>
        <v>0</v>
      </c>
      <c r="K26" s="29">
        <f t="shared" si="2"/>
        <v>1</v>
      </c>
      <c r="L26" s="30">
        <f t="shared" si="3"/>
        <v>0</v>
      </c>
      <c r="M26" s="31">
        <v>44</v>
      </c>
      <c r="N26" s="32">
        <v>44</v>
      </c>
      <c r="O26" s="33">
        <v>0</v>
      </c>
      <c r="P26" s="25">
        <f t="shared" si="4"/>
        <v>4.666666666666667</v>
      </c>
    </row>
    <row r="27" spans="1:16" s="26" customFormat="1" ht="15" customHeight="1">
      <c r="A27" s="27">
        <v>16</v>
      </c>
      <c r="B27" s="67" t="s">
        <v>44</v>
      </c>
      <c r="C27" s="17">
        <v>5</v>
      </c>
      <c r="D27" s="17">
        <v>4</v>
      </c>
      <c r="E27" s="17">
        <v>4</v>
      </c>
      <c r="F27" s="17">
        <v>5</v>
      </c>
      <c r="G27" s="17">
        <v>5</v>
      </c>
      <c r="H27" s="17">
        <v>4</v>
      </c>
      <c r="I27" s="28">
        <f t="shared" si="0"/>
        <v>3</v>
      </c>
      <c r="J27" s="29">
        <f t="shared" si="1"/>
        <v>3</v>
      </c>
      <c r="K27" s="29">
        <f t="shared" si="2"/>
        <v>0</v>
      </c>
      <c r="L27" s="30">
        <f t="shared" si="3"/>
        <v>0</v>
      </c>
      <c r="M27" s="31">
        <v>52</v>
      </c>
      <c r="N27" s="32">
        <v>52</v>
      </c>
      <c r="O27" s="33">
        <v>0</v>
      </c>
      <c r="P27" s="25">
        <f t="shared" si="4"/>
        <v>4.5</v>
      </c>
    </row>
    <row r="28" spans="1:16" s="26" customFormat="1" ht="15" customHeight="1">
      <c r="A28" s="27">
        <v>17</v>
      </c>
      <c r="B28" s="67" t="s">
        <v>38</v>
      </c>
      <c r="C28" s="17">
        <v>5</v>
      </c>
      <c r="D28" s="17">
        <v>3</v>
      </c>
      <c r="E28" s="17">
        <v>4</v>
      </c>
      <c r="F28" s="17">
        <v>4</v>
      </c>
      <c r="G28" s="17">
        <v>5</v>
      </c>
      <c r="H28" s="17">
        <v>5</v>
      </c>
      <c r="I28" s="28">
        <f t="shared" si="0"/>
        <v>3</v>
      </c>
      <c r="J28" s="29">
        <f t="shared" si="1"/>
        <v>2</v>
      </c>
      <c r="K28" s="29">
        <f t="shared" si="2"/>
        <v>1</v>
      </c>
      <c r="L28" s="30">
        <f t="shared" si="3"/>
        <v>0</v>
      </c>
      <c r="M28" s="31">
        <v>30</v>
      </c>
      <c r="N28" s="32">
        <v>28</v>
      </c>
      <c r="O28" s="33">
        <v>2</v>
      </c>
      <c r="P28" s="25">
        <f t="shared" si="4"/>
        <v>4.333333333333333</v>
      </c>
    </row>
    <row r="29" spans="1:16" s="26" customFormat="1" ht="15" customHeight="1">
      <c r="A29" s="27">
        <v>18</v>
      </c>
      <c r="B29" s="67" t="s">
        <v>39</v>
      </c>
      <c r="C29" s="17">
        <v>4</v>
      </c>
      <c r="D29" s="17">
        <v>3</v>
      </c>
      <c r="E29" s="17">
        <v>4</v>
      </c>
      <c r="F29" s="17">
        <v>5</v>
      </c>
      <c r="G29" s="17">
        <v>5</v>
      </c>
      <c r="H29" s="17">
        <v>2</v>
      </c>
      <c r="I29" s="28">
        <f t="shared" si="0"/>
        <v>2</v>
      </c>
      <c r="J29" s="29">
        <f t="shared" si="1"/>
        <v>2</v>
      </c>
      <c r="K29" s="29">
        <f t="shared" si="2"/>
        <v>1</v>
      </c>
      <c r="L29" s="30">
        <f t="shared" si="3"/>
        <v>1</v>
      </c>
      <c r="M29" s="31">
        <v>52</v>
      </c>
      <c r="N29" s="32">
        <v>50</v>
      </c>
      <c r="O29" s="33">
        <v>2</v>
      </c>
      <c r="P29" s="25">
        <f t="shared" si="4"/>
        <v>3.8333333333333335</v>
      </c>
    </row>
    <row r="30" spans="1:16" s="26" customFormat="1" ht="15" customHeight="1">
      <c r="A30" s="27">
        <v>19</v>
      </c>
      <c r="B30" s="67" t="s">
        <v>43</v>
      </c>
      <c r="C30" s="17">
        <v>5</v>
      </c>
      <c r="D30" s="17">
        <v>4</v>
      </c>
      <c r="E30" s="17">
        <v>5</v>
      </c>
      <c r="F30" s="17">
        <v>5</v>
      </c>
      <c r="G30" s="17">
        <v>5</v>
      </c>
      <c r="H30" s="17">
        <v>4</v>
      </c>
      <c r="I30" s="28">
        <f t="shared" si="0"/>
        <v>4</v>
      </c>
      <c r="J30" s="29">
        <f t="shared" si="1"/>
        <v>2</v>
      </c>
      <c r="K30" s="29">
        <f t="shared" si="2"/>
        <v>0</v>
      </c>
      <c r="L30" s="30">
        <f t="shared" si="3"/>
        <v>0</v>
      </c>
      <c r="M30" s="31">
        <v>6</v>
      </c>
      <c r="N30" s="32">
        <v>6</v>
      </c>
      <c r="O30" s="33">
        <v>0</v>
      </c>
      <c r="P30" s="25">
        <f t="shared" si="4"/>
        <v>4.666666666666667</v>
      </c>
    </row>
    <row r="31" spans="1:16" s="26" customFormat="1" ht="15" customHeight="1">
      <c r="A31" s="27">
        <v>20</v>
      </c>
      <c r="B31" s="67" t="s">
        <v>40</v>
      </c>
      <c r="C31" s="17">
        <v>4</v>
      </c>
      <c r="D31" s="17">
        <v>3</v>
      </c>
      <c r="E31" s="17">
        <v>4</v>
      </c>
      <c r="F31" s="17">
        <v>5</v>
      </c>
      <c r="G31" s="17">
        <v>5</v>
      </c>
      <c r="H31" s="17">
        <v>3</v>
      </c>
      <c r="I31" s="28">
        <f t="shared" si="0"/>
        <v>2</v>
      </c>
      <c r="J31" s="29">
        <f t="shared" si="1"/>
        <v>2</v>
      </c>
      <c r="K31" s="29">
        <f t="shared" si="2"/>
        <v>2</v>
      </c>
      <c r="L31" s="30">
        <f t="shared" si="3"/>
        <v>0</v>
      </c>
      <c r="M31" s="31">
        <v>40</v>
      </c>
      <c r="N31" s="32">
        <v>30</v>
      </c>
      <c r="O31" s="33">
        <v>10</v>
      </c>
      <c r="P31" s="25">
        <f t="shared" si="4"/>
        <v>4</v>
      </c>
    </row>
    <row r="32" spans="1:16" s="26" customFormat="1" ht="15" customHeight="1">
      <c r="A32" s="27">
        <v>21</v>
      </c>
      <c r="B32" s="67" t="s">
        <v>41</v>
      </c>
      <c r="C32" s="17">
        <v>5</v>
      </c>
      <c r="D32" s="17">
        <v>4</v>
      </c>
      <c r="E32" s="17">
        <v>4</v>
      </c>
      <c r="F32" s="17">
        <v>5</v>
      </c>
      <c r="G32" s="17">
        <v>5</v>
      </c>
      <c r="H32" s="17">
        <v>4</v>
      </c>
      <c r="I32" s="28">
        <f t="shared" si="0"/>
        <v>3</v>
      </c>
      <c r="J32" s="29">
        <f t="shared" si="1"/>
        <v>3</v>
      </c>
      <c r="K32" s="29">
        <f t="shared" si="2"/>
        <v>0</v>
      </c>
      <c r="L32" s="30">
        <f t="shared" si="3"/>
        <v>0</v>
      </c>
      <c r="M32" s="31">
        <v>8</v>
      </c>
      <c r="N32" s="32">
        <v>4</v>
      </c>
      <c r="O32" s="33">
        <v>4</v>
      </c>
      <c r="P32" s="25">
        <f t="shared" si="4"/>
        <v>4.5</v>
      </c>
    </row>
    <row r="33" spans="1:16" s="26" customFormat="1" ht="15" customHeight="1">
      <c r="A33" s="27">
        <v>22</v>
      </c>
      <c r="B33" s="67" t="s">
        <v>42</v>
      </c>
      <c r="C33" s="17">
        <v>4</v>
      </c>
      <c r="D33" s="17">
        <v>3</v>
      </c>
      <c r="E33" s="17">
        <v>4</v>
      </c>
      <c r="F33" s="17">
        <v>5</v>
      </c>
      <c r="G33" s="17">
        <v>5</v>
      </c>
      <c r="H33" s="17">
        <v>4</v>
      </c>
      <c r="I33" s="28">
        <f t="shared" si="0"/>
        <v>2</v>
      </c>
      <c r="J33" s="29">
        <f t="shared" si="1"/>
        <v>3</v>
      </c>
      <c r="K33" s="29">
        <f t="shared" si="2"/>
        <v>1</v>
      </c>
      <c r="L33" s="30">
        <f t="shared" si="3"/>
        <v>0</v>
      </c>
      <c r="M33" s="31">
        <v>51</v>
      </c>
      <c r="N33" s="32">
        <v>41</v>
      </c>
      <c r="O33" s="33">
        <v>10</v>
      </c>
      <c r="P33" s="25">
        <f t="shared" si="4"/>
        <v>4.166666666666667</v>
      </c>
    </row>
    <row r="34" spans="1:16" s="26" customFormat="1" ht="15" customHeight="1">
      <c r="A34" s="27">
        <v>23</v>
      </c>
      <c r="B34" s="68" t="s">
        <v>50</v>
      </c>
      <c r="C34" s="17">
        <v>4</v>
      </c>
      <c r="D34" s="17">
        <v>4</v>
      </c>
      <c r="E34" s="17">
        <v>4</v>
      </c>
      <c r="F34" s="17">
        <v>5</v>
      </c>
      <c r="G34" s="17">
        <v>4</v>
      </c>
      <c r="H34" s="17">
        <v>4</v>
      </c>
      <c r="I34" s="28">
        <f t="shared" si="0"/>
        <v>1</v>
      </c>
      <c r="J34" s="29">
        <f t="shared" si="1"/>
        <v>5</v>
      </c>
      <c r="K34" s="29">
        <f t="shared" si="2"/>
        <v>0</v>
      </c>
      <c r="L34" s="30">
        <f t="shared" si="3"/>
        <v>0</v>
      </c>
      <c r="M34" s="31">
        <v>4</v>
      </c>
      <c r="N34" s="32">
        <v>4</v>
      </c>
      <c r="O34" s="33">
        <v>0</v>
      </c>
      <c r="P34" s="25">
        <f t="shared" si="4"/>
        <v>4.166666666666667</v>
      </c>
    </row>
    <row r="35" spans="1:16" s="26" customFormat="1" ht="15" customHeight="1" thickBot="1">
      <c r="A35" s="34">
        <v>24</v>
      </c>
      <c r="B35" s="35" t="s">
        <v>49</v>
      </c>
      <c r="C35" s="36">
        <v>4</v>
      </c>
      <c r="D35" s="17">
        <v>3</v>
      </c>
      <c r="E35" s="17">
        <v>4</v>
      </c>
      <c r="F35" s="17">
        <v>5</v>
      </c>
      <c r="G35" s="17">
        <v>5</v>
      </c>
      <c r="H35" s="17">
        <v>5</v>
      </c>
      <c r="I35" s="28">
        <f t="shared" si="0"/>
        <v>3</v>
      </c>
      <c r="J35" s="29">
        <f t="shared" si="1"/>
        <v>2</v>
      </c>
      <c r="K35" s="29">
        <f t="shared" si="2"/>
        <v>1</v>
      </c>
      <c r="L35" s="30">
        <f t="shared" si="3"/>
        <v>0</v>
      </c>
      <c r="M35" s="37">
        <v>4</v>
      </c>
      <c r="N35" s="38">
        <v>4</v>
      </c>
      <c r="O35" s="39">
        <v>0</v>
      </c>
      <c r="P35" s="25">
        <f t="shared" si="4"/>
        <v>4.333333333333333</v>
      </c>
    </row>
    <row r="36" spans="1:16" s="7" customFormat="1" ht="16.5" customHeight="1" thickBot="1">
      <c r="A36" s="40"/>
      <c r="C36" s="41"/>
      <c r="D36" s="41"/>
      <c r="E36" s="41"/>
      <c r="F36" s="41"/>
      <c r="G36" s="41"/>
      <c r="H36" s="41"/>
      <c r="I36" s="42">
        <f t="shared" ref="I36:O36" si="5">SUM(I12:I35)</f>
        <v>66</v>
      </c>
      <c r="J36" s="43">
        <f t="shared" si="5"/>
        <v>49</v>
      </c>
      <c r="K36" s="43">
        <f t="shared" si="5"/>
        <v>21</v>
      </c>
      <c r="L36" s="44">
        <f t="shared" si="5"/>
        <v>8</v>
      </c>
      <c r="M36" s="45">
        <f t="shared" si="5"/>
        <v>636</v>
      </c>
      <c r="N36" s="46">
        <f t="shared" si="5"/>
        <v>463</v>
      </c>
      <c r="O36" s="47">
        <f t="shared" si="5"/>
        <v>173</v>
      </c>
      <c r="P36" s="85"/>
    </row>
    <row r="37" spans="1:16" ht="15" customHeight="1">
      <c r="A37" s="88" t="s">
        <v>13</v>
      </c>
      <c r="B37" s="89"/>
      <c r="C37" s="48">
        <f>AVERAGE(C12:C35)</f>
        <v>4.5</v>
      </c>
      <c r="D37" s="48">
        <f t="shared" ref="D37:E37" si="6">AVERAGE(D12:D35)</f>
        <v>3.4166666666666665</v>
      </c>
      <c r="E37" s="48">
        <f t="shared" si="6"/>
        <v>4.041666666666667</v>
      </c>
      <c r="F37" s="48">
        <f t="shared" ref="F37:H37" si="7">AVERAGE(F12:F35)</f>
        <v>4.75</v>
      </c>
      <c r="G37" s="48">
        <f t="shared" si="7"/>
        <v>4.666666666666667</v>
      </c>
      <c r="H37" s="48">
        <f t="shared" si="7"/>
        <v>3.8333333333333335</v>
      </c>
      <c r="I37" s="90" t="s">
        <v>14</v>
      </c>
      <c r="J37" s="91"/>
      <c r="K37" s="91"/>
      <c r="L37" s="92"/>
      <c r="M37" s="96" t="s">
        <v>15</v>
      </c>
      <c r="N37" s="97"/>
      <c r="O37" s="98"/>
      <c r="P37" s="86"/>
    </row>
    <row r="38" spans="1:16" ht="15.75" customHeight="1" thickBot="1">
      <c r="A38" s="102" t="s">
        <v>16</v>
      </c>
      <c r="B38" s="103"/>
      <c r="C38" s="49">
        <f>COUNTIF(C12:C35,5)</f>
        <v>14</v>
      </c>
      <c r="D38" s="50">
        <f>COUNTIF(D12:D35,5)</f>
        <v>0</v>
      </c>
      <c r="E38" s="50">
        <f>COUNTIF(E12:E35,5)</f>
        <v>6</v>
      </c>
      <c r="F38" s="50">
        <f>COUNTIF(F12:F35,5)</f>
        <v>20</v>
      </c>
      <c r="G38" s="50">
        <f t="shared" ref="G38:H38" si="8">COUNTIF(G12:G35,5)</f>
        <v>18</v>
      </c>
      <c r="H38" s="50">
        <f t="shared" si="8"/>
        <v>8</v>
      </c>
      <c r="I38" s="93"/>
      <c r="J38" s="94"/>
      <c r="K38" s="94"/>
      <c r="L38" s="95"/>
      <c r="M38" s="99"/>
      <c r="N38" s="100"/>
      <c r="O38" s="101"/>
      <c r="P38" s="86"/>
    </row>
    <row r="39" spans="1:16" ht="15.75" customHeight="1">
      <c r="A39" s="102" t="s">
        <v>17</v>
      </c>
      <c r="B39" s="103"/>
      <c r="C39" s="49">
        <f>COUNTIF(C12:C35,4)</f>
        <v>9</v>
      </c>
      <c r="D39" s="50">
        <f>COUNTIF(D12:D35,4)</f>
        <v>11</v>
      </c>
      <c r="E39" s="50">
        <f>COUNTIF(E12:E35,4)</f>
        <v>14</v>
      </c>
      <c r="F39" s="50">
        <f>COUNTIF(F12:F35,4)</f>
        <v>3</v>
      </c>
      <c r="G39" s="50">
        <f t="shared" ref="G39:H39" si="9">COUNTIF(G12:G35,4)</f>
        <v>5</v>
      </c>
      <c r="H39" s="50">
        <f t="shared" si="9"/>
        <v>7</v>
      </c>
      <c r="I39" s="104">
        <f>AVERAGE(C37:H37)</f>
        <v>4.2013888888888884</v>
      </c>
      <c r="J39" s="105"/>
      <c r="K39" s="105"/>
      <c r="L39" s="106"/>
      <c r="M39" s="113">
        <f>(100-(O36/(C46*C47))*100)</f>
        <v>93.993055555555557</v>
      </c>
      <c r="N39" s="114"/>
      <c r="O39" s="115"/>
      <c r="P39" s="86"/>
    </row>
    <row r="40" spans="1:16" ht="15.75" customHeight="1">
      <c r="A40" s="102" t="s">
        <v>18</v>
      </c>
      <c r="B40" s="103"/>
      <c r="C40" s="49">
        <f>COUNTIF(C12:C35,3)</f>
        <v>0</v>
      </c>
      <c r="D40" s="50">
        <f>COUNTIF(D12:D35,3)</f>
        <v>12</v>
      </c>
      <c r="E40" s="50">
        <f>COUNTIF(E12:E35,3)</f>
        <v>3</v>
      </c>
      <c r="F40" s="50">
        <f>COUNTIF(F12:F35,3)</f>
        <v>0</v>
      </c>
      <c r="G40" s="50">
        <f t="shared" ref="G40:H40" si="10">COUNTIF(G12:G35,3)</f>
        <v>0</v>
      </c>
      <c r="H40" s="50">
        <f t="shared" si="10"/>
        <v>6</v>
      </c>
      <c r="I40" s="107"/>
      <c r="J40" s="108"/>
      <c r="K40" s="108"/>
      <c r="L40" s="109"/>
      <c r="M40" s="116"/>
      <c r="N40" s="117"/>
      <c r="O40" s="118"/>
      <c r="P40" s="86"/>
    </row>
    <row r="41" spans="1:16" ht="16.5" customHeight="1" thickBot="1">
      <c r="A41" s="122" t="s">
        <v>19</v>
      </c>
      <c r="B41" s="123"/>
      <c r="C41" s="51">
        <f>COUNTIF(C12:C35,2)</f>
        <v>1</v>
      </c>
      <c r="D41" s="52">
        <f>COUNTIF(D12:D35,2)</f>
        <v>1</v>
      </c>
      <c r="E41" s="52">
        <f>COUNTIF(E12:E35,2)</f>
        <v>1</v>
      </c>
      <c r="F41" s="52">
        <f>COUNTIF(F12:F35,2)</f>
        <v>1</v>
      </c>
      <c r="G41" s="52">
        <f t="shared" ref="G41:H41" si="11">COUNTIF(G12:G35,2)</f>
        <v>1</v>
      </c>
      <c r="H41" s="52">
        <f t="shared" si="11"/>
        <v>3</v>
      </c>
      <c r="I41" s="110"/>
      <c r="J41" s="111"/>
      <c r="K41" s="111"/>
      <c r="L41" s="112"/>
      <c r="M41" s="119"/>
      <c r="N41" s="120"/>
      <c r="O41" s="121"/>
      <c r="P41" s="87"/>
    </row>
    <row r="42" spans="1:16" ht="9" customHeight="1"/>
    <row r="43" spans="1:16" s="54" customFormat="1" ht="15" customHeight="1">
      <c r="A43" s="6"/>
      <c r="B43" s="53" t="s">
        <v>20</v>
      </c>
      <c r="C43" s="78">
        <f>(I36*5+J36*4+K36*3)/(I36*5+J36*4+K36*3+L36*2)*100</f>
        <v>97.355371900826455</v>
      </c>
      <c r="D43" s="78"/>
      <c r="E43" s="63"/>
      <c r="H43" s="76"/>
      <c r="I43" s="76"/>
      <c r="J43" s="76"/>
      <c r="M43" s="4"/>
      <c r="N43" s="55"/>
    </row>
    <row r="44" spans="1:16" s="54" customFormat="1" ht="15" customHeight="1">
      <c r="A44" s="6"/>
      <c r="B44" s="53" t="s">
        <v>21</v>
      </c>
      <c r="C44" s="78">
        <f>(I36*5+J36*4)/(I36*5+J36*4+K36*3+L36*2)*100</f>
        <v>86.942148760330568</v>
      </c>
      <c r="D44" s="78"/>
      <c r="E44" s="63"/>
      <c r="F44" s="56"/>
      <c r="G44" s="56"/>
      <c r="M44" s="4"/>
      <c r="N44" s="55"/>
      <c r="P44" s="57"/>
    </row>
    <row r="45" spans="1:16" s="54" customFormat="1" ht="15" customHeight="1">
      <c r="A45" s="6"/>
      <c r="B45" s="53" t="s">
        <v>22</v>
      </c>
      <c r="C45" s="58">
        <f>COUNTIF(L12:L35,"&gt;0")</f>
        <v>3</v>
      </c>
      <c r="D45" s="58"/>
      <c r="E45" s="58"/>
      <c r="M45" s="4"/>
      <c r="N45" s="55"/>
    </row>
    <row r="46" spans="1:16" s="54" customFormat="1" ht="15" customHeight="1">
      <c r="A46" s="6"/>
      <c r="B46" s="59" t="s">
        <v>23</v>
      </c>
      <c r="C46" s="60">
        <v>24</v>
      </c>
      <c r="D46" s="58"/>
      <c r="E46" s="58"/>
      <c r="M46" s="4"/>
      <c r="N46" s="55"/>
    </row>
    <row r="47" spans="1:16" s="54" customFormat="1" ht="15" customHeight="1">
      <c r="A47" s="6"/>
      <c r="B47" s="59" t="s">
        <v>24</v>
      </c>
      <c r="C47" s="70">
        <v>120</v>
      </c>
      <c r="D47" s="69"/>
      <c r="E47" s="64"/>
      <c r="F47" s="58"/>
      <c r="G47" s="58"/>
      <c r="M47" s="4"/>
      <c r="N47" s="55"/>
    </row>
    <row r="48" spans="1:16" ht="15" customHeight="1">
      <c r="B48" s="77" t="s">
        <v>51</v>
      </c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</row>
    <row r="49" spans="2:12" ht="15" customHeight="1">
      <c r="B49" s="75" t="s">
        <v>25</v>
      </c>
      <c r="C49" s="75"/>
      <c r="D49" s="75"/>
      <c r="E49" s="75"/>
      <c r="F49" s="75"/>
      <c r="G49" s="75"/>
      <c r="H49" s="75"/>
      <c r="I49" s="75"/>
      <c r="J49" s="75"/>
      <c r="K49" s="75"/>
      <c r="L49" s="75"/>
    </row>
    <row r="50" spans="2:12" ht="15" customHeight="1">
      <c r="B50" s="61" t="s">
        <v>55</v>
      </c>
    </row>
    <row r="51" spans="2:12" ht="15" customHeight="1">
      <c r="B51" s="62"/>
    </row>
    <row r="52" spans="2:12" ht="15" customHeight="1">
      <c r="B52" s="53"/>
    </row>
    <row r="53" spans="2:12" ht="15" customHeight="1"/>
  </sheetData>
  <sortState ref="B13:B28">
    <sortCondition ref="B13"/>
  </sortState>
  <mergeCells count="23">
    <mergeCell ref="B1:N3"/>
    <mergeCell ref="P7:P9"/>
    <mergeCell ref="A7:B11"/>
    <mergeCell ref="P36:P41"/>
    <mergeCell ref="A37:B37"/>
    <mergeCell ref="I37:L38"/>
    <mergeCell ref="M37:O38"/>
    <mergeCell ref="A38:B38"/>
    <mergeCell ref="A39:B39"/>
    <mergeCell ref="I39:L41"/>
    <mergeCell ref="M39:O41"/>
    <mergeCell ref="A40:B40"/>
    <mergeCell ref="A41:B41"/>
    <mergeCell ref="C7:H10"/>
    <mergeCell ref="I7:L9"/>
    <mergeCell ref="M7:O9"/>
    <mergeCell ref="H43:J43"/>
    <mergeCell ref="B48:M48"/>
    <mergeCell ref="C43:D43"/>
    <mergeCell ref="C44:D44"/>
    <mergeCell ref="B4:N4"/>
    <mergeCell ref="B6:N6"/>
    <mergeCell ref="B5:N5"/>
  </mergeCells>
  <conditionalFormatting sqref="C12:H35">
    <cfRule type="cellIs" dxfId="1" priority="2" operator="equal">
      <formula>2</formula>
    </cfRule>
    <cfRule type="cellIs" dxfId="0" priority="3" operator="equal">
      <formula>3.5</formula>
    </cfRule>
  </conditionalFormatting>
  <printOptions horizontalCentered="1"/>
  <pageMargins left="0.23611111111111099" right="0.23611111111111099" top="0.47222222222222199" bottom="0.47222222222222199" header="0.511811023622047" footer="0.511811023622047"/>
  <pageSetup paperSize="9" scale="7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Redmi 8</dc:creator>
  <cp:lastModifiedBy>учитель</cp:lastModifiedBy>
  <cp:revision>1</cp:revision>
  <cp:lastPrinted>2025-10-08T14:40:53Z</cp:lastPrinted>
  <dcterms:created xsi:type="dcterms:W3CDTF">2006-09-27T21:33:49Z</dcterms:created>
  <dcterms:modified xsi:type="dcterms:W3CDTF">2026-05-11T06:55:19Z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7fe25b2a4cc14b5781be157ccc735307</vt:lpwstr>
  </property>
</Properties>
</file>